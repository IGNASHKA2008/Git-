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tabRatio="500"/>
  </bookViews>
  <sheets>
    <sheet name="Таблиц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<sst xmlns="http://schemas.openxmlformats.org/spreadsheetml/2006/main" count="33" uniqueCount="30">
  <si>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Фамилия Имя Отчество</t>
  </si>
  <si>
    <t>Город рождения</t>
  </si>
  <si>
    <t>Дата рождения</t>
  </si>
  <si>
    <t>Оценки по курсу</t>
  </si>
  <si>
    <t>Возраст</t>
  </si>
  <si>
    <t>Средний балл</t>
  </si>
  <si>
    <t>Средний балл × коэффициент</t>
  </si>
  <si>
    <t>Коэффициент</t>
  </si>
  <si>
    <t>Информатика</t>
  </si>
  <si>
    <t>Линейная алгебра</t>
  </si>
  <si>
    <t>Культурология</t>
  </si>
  <si>
    <t>Психология</t>
  </si>
  <si>
    <t>Иванов Иван Иванович</t>
  </si>
  <si>
    <t>Санкт-Петербург</t>
  </si>
  <si>
    <t>Лапушкин Валерий Федорович</t>
  </si>
  <si>
    <t>Калиточкин Михаил Сергеевич</t>
  </si>
  <si>
    <t>Мурманск</t>
  </si>
  <si>
    <t>н/я</t>
  </si>
  <si>
    <t>Зинаев Дмитрий Алексеевич</t>
  </si>
  <si>
    <t>Архангельск</t>
  </si>
  <si>
    <t>Валюшин Роман Капитонович</t>
  </si>
  <si>
    <t>Калининград</t>
  </si>
  <si>
    <t>Завитушкин Владимир Ильич</t>
  </si>
  <si>
    <t>Средний балл по предмету</t>
  </si>
  <si>
    <t>Распределение среднего балла</t>
  </si>
  <si>
    <t>Категория</t>
  </si>
  <si>
    <t>Кол-во человек</t>
  </si>
  <si>
    <t>5</t>
  </si>
  <si>
    <t>4-5</t>
  </si>
  <si>
    <t>&lt;4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</si>
</sst>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  <numFmt numFmtId="178" formatCode="dd\.mm\.yyyy"/>
  </numFmts>
  <fonts count="31">
    <font>
      <sz val="11"/>
      <color theme="1"/>
      <name val="Calibri"/>
      <charset val="1"/>
    </font>
    <font>
      <i/>
      <sz val="14"/>
      <name val="Century Gothic"/>
      <charset val="1"/>
    </font>
    <font>
      <sz val="14"/>
      <color theme="1"/>
      <name val="Century Gothic"/>
      <charset val="1"/>
    </font>
    <font>
      <b/>
      <sz val="16"/>
      <name val="Century Gothic"/>
      <charset val="1"/>
    </font>
    <font>
      <b/>
      <sz val="16"/>
      <name val="Arial"/>
      <charset val="1"/>
    </font>
    <font>
      <b/>
      <sz val="16"/>
      <color theme="1"/>
      <name val="Arial"/>
      <charset val="1"/>
    </font>
    <font>
      <sz val="10"/>
      <name val="Arial"/>
      <charset val="1"/>
    </font>
    <font>
      <sz val="11"/>
      <color theme="1"/>
      <name val="Arial"/>
      <charset val="1"/>
    </font>
    <font>
      <sz val="12"/>
      <name val="Arial"/>
      <charset val="1"/>
    </font>
    <font>
      <sz val="10"/>
      <name val="Garamond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 style="thin">
        <color auto="1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auto="1"/>
      </bottom>
      <diagonal/>
    </border>
    <border>
      <left/>
      <right/>
      <top style="medium">
        <color theme="1"/>
      </top>
      <bottom/>
      <diagonal/>
    </border>
    <border>
      <left style="thin">
        <color rgb="FF00B050"/>
      </left>
      <right/>
      <top/>
      <bottom/>
      <diagonal/>
    </border>
    <border>
      <left style="medium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thin">
        <color auto="1"/>
      </top>
      <bottom style="medium">
        <color rgb="FF00B05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 style="thin">
        <color auto="1"/>
      </right>
      <top/>
      <bottom style="thin">
        <color rgb="FF00B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176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177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36" applyNumberFormat="0" applyAlignment="0" applyProtection="0">
      <alignment vertical="center"/>
    </xf>
    <xf numFmtId="0" fontId="21" fillId="4" borderId="37" applyNumberFormat="0" applyAlignment="0" applyProtection="0">
      <alignment vertical="center"/>
    </xf>
    <xf numFmtId="0" fontId="22" fillId="4" borderId="36" applyNumberFormat="0" applyAlignment="0" applyProtection="0">
      <alignment vertical="center"/>
    </xf>
    <xf numFmtId="0" fontId="23" fillId="5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9" xfId="0" applyFont="1" applyBorder="1"/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/>
    </xf>
    <xf numFmtId="0" fontId="2" fillId="0" borderId="0" xfId="0" applyFont="1"/>
    <xf numFmtId="0" fontId="4" fillId="0" borderId="14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178" fontId="4" fillId="0" borderId="16" xfId="0" applyNumberFormat="1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1" fontId="4" fillId="0" borderId="16" xfId="0" applyNumberFormat="1" applyFont="1" applyBorder="1" applyAlignment="1">
      <alignment horizontal="right"/>
    </xf>
    <xf numFmtId="2" fontId="4" fillId="0" borderId="15" xfId="0" applyNumberFormat="1" applyFont="1" applyBorder="1" applyAlignment="1">
      <alignment horizontal="right"/>
    </xf>
    <xf numFmtId="2" fontId="4" fillId="0" borderId="16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0" fillId="0" borderId="9" xfId="0" applyBorder="1"/>
    <xf numFmtId="0" fontId="4" fillId="0" borderId="18" xfId="0" applyFont="1" applyBorder="1" applyAlignment="1">
      <alignment horizontal="right"/>
    </xf>
    <xf numFmtId="178" fontId="4" fillId="0" borderId="18" xfId="0" applyNumberFormat="1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1" fontId="4" fillId="0" borderId="18" xfId="0" applyNumberFormat="1" applyFont="1" applyBorder="1" applyAlignment="1">
      <alignment horizontal="right"/>
    </xf>
    <xf numFmtId="2" fontId="4" fillId="0" borderId="19" xfId="0" applyNumberFormat="1" applyFont="1" applyBorder="1" applyAlignment="1">
      <alignment horizontal="right"/>
    </xf>
    <xf numFmtId="2" fontId="4" fillId="0" borderId="18" xfId="0" applyNumberFormat="1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1" fontId="4" fillId="0" borderId="24" xfId="0" applyNumberFormat="1" applyFont="1" applyBorder="1" applyAlignment="1">
      <alignment horizontal="right"/>
    </xf>
    <xf numFmtId="0" fontId="5" fillId="0" borderId="19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0" fontId="4" fillId="0" borderId="27" xfId="0" applyFont="1" applyBorder="1" applyAlignment="1">
      <alignment horizontal="right"/>
    </xf>
    <xf numFmtId="0" fontId="5" fillId="0" borderId="27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178" fontId="4" fillId="0" borderId="22" xfId="0" applyNumberFormat="1" applyFont="1" applyBorder="1" applyAlignment="1">
      <alignment horizontal="right"/>
    </xf>
    <xf numFmtId="0" fontId="4" fillId="0" borderId="29" xfId="0" applyFont="1" applyBorder="1" applyAlignment="1">
      <alignment horizontal="right"/>
    </xf>
    <xf numFmtId="1" fontId="4" fillId="0" borderId="29" xfId="0" applyNumberFormat="1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2" fontId="4" fillId="0" borderId="29" xfId="0" applyNumberFormat="1" applyFont="1" applyBorder="1" applyAlignment="1">
      <alignment horizontal="right"/>
    </xf>
    <xf numFmtId="2" fontId="4" fillId="0" borderId="30" xfId="0" applyNumberFormat="1" applyFont="1" applyBorder="1" applyAlignment="1">
      <alignment horizontal="right"/>
    </xf>
    <xf numFmtId="2" fontId="4" fillId="0" borderId="31" xfId="0" applyNumberFormat="1" applyFont="1" applyBorder="1" applyAlignment="1">
      <alignment horizontal="right"/>
    </xf>
    <xf numFmtId="0" fontId="5" fillId="0" borderId="29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3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9" fontId="8" fillId="0" borderId="32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0" fillId="0" borderId="0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F7F7F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ED7D31"/>
      <rgbColor rgb="004F81BD"/>
      <rgbColor rgb="00A5A5A5"/>
      <rgbColor rgb="00003366"/>
      <rgbColor rgb="00339966"/>
      <rgbColor rgb="00003300"/>
      <rgbColor rgb="00333300"/>
      <rgbColor rgb="00993300"/>
      <rgbColor rgb="00993366"/>
      <rgbColor rgb="00233C9E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Распределение среднего балла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197198673055658"/>
          <c:y val="0.0442496801271737"/>
        </c:manualLayout>
      </c:layout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Таблица!$B$12</c:f>
              <c:strCache>
                <c:ptCount val="1"/>
                <c:pt idx="0">
                  <c:v>Кол-во человек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Таблица!$A$13:$A$15</c:f>
              <c:strCache>
                <c:ptCount val="3"/>
                <c:pt idx="0" c:formatCode="@">
                  <c:v>5</c:v>
                </c:pt>
                <c:pt idx="1" c:formatCode="@">
                  <c:v>4-5</c:v>
                </c:pt>
                <c:pt idx="2" c:formatCode="@">
                  <c:v>&lt;4</c:v>
                </c:pt>
              </c:strCache>
            </c:strRef>
          </c:cat>
          <c:val>
            <c:numRef>
              <c:f>Таблица!$B$13:$B$15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1"/>
          <c:showVal val="1"/>
          <c:showCatName val="0"/>
          <c:showSerName val="0"/>
          <c:showPercent val="0"/>
          <c:showBubbleSize val="1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48b399-af12-46ee-896b-7314f5c76c6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20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2000" b="1" strike="noStrike" spc="-1">
                <a:solidFill>
                  <a:srgbClr val="000000"/>
                </a:solidFill>
                <a:latin typeface="Calibri" panose="020F0502020204030204"/>
              </a:rPr>
              <a:t>Средний балл по предмету</a:t>
            </a:r>
            <a:endParaRPr sz="20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33C9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ru-RU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Таблица!$D$2:$G$2</c:f>
              <c:strCache>
                <c:ptCount val="4"/>
                <c:pt idx="0" c:formatCode="General">
                  <c:v>Информатика</c:v>
                </c:pt>
                <c:pt idx="1" c:formatCode="General">
                  <c:v>Линейная алгебра</c:v>
                </c:pt>
                <c:pt idx="2" c:formatCode="General">
                  <c:v>Культурология</c:v>
                </c:pt>
                <c:pt idx="3" c:formatCode="General">
                  <c:v>Психология</c:v>
                </c:pt>
              </c:strCache>
            </c:strRef>
          </c:cat>
          <c:val>
            <c:numRef>
              <c:f>Таблица!$D$9:$G$9</c:f>
              <c:numCache>
                <c:formatCode>0.00</c:formatCode>
                <c:ptCount val="4"/>
                <c:pt idx="0">
                  <c:v>4.2</c:v>
                </c:pt>
                <c:pt idx="1">
                  <c:v>4</c:v>
                </c:pt>
                <c:pt idx="2">
                  <c:v>4</c:v>
                </c:pt>
                <c:pt idx="3">
                  <c:v>4.33333333333333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220"/>
        <c:overlap val="0"/>
        <c:axId val="49735426"/>
        <c:axId val="4349303"/>
      </c:barChart>
      <c:catAx>
        <c:axId val="497354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7F7F7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349303"/>
        <c:crosses val="autoZero"/>
        <c:auto val="1"/>
        <c:lblAlgn val="ctr"/>
        <c:lblOffset val="100"/>
        <c:noMultiLvlLbl val="0"/>
      </c:catAx>
      <c:valAx>
        <c:axId val="4349303"/>
        <c:scaling>
          <c:orientation val="minMax"/>
          <c:max val="5"/>
          <c:min val="0"/>
        </c:scaling>
        <c:delete val="0"/>
        <c:axPos val="l"/>
        <c:majorGridlines>
          <c:spPr>
            <a:ln w="9360" cap="flat" cmpd="sng" algn="ctr">
              <a:solidFill>
                <a:srgbClr val="7F7F7F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9735426"/>
        <c:crosses val="autoZero"/>
        <c:crossBetween val="between"/>
        <c:majorUnit val="0.5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00a00c4-0d07-4059-8290-717cbdebde7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ru-RU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17</xdr:row>
      <xdr:rowOff>0</xdr:rowOff>
    </xdr:from>
    <xdr:to>
      <xdr:col>2</xdr:col>
      <xdr:colOff>194945</xdr:colOff>
      <xdr:row>42</xdr:row>
      <xdr:rowOff>184150</xdr:rowOff>
    </xdr:to>
    <xdr:graphicFrame>
      <xdr:nvGraphicFramePr>
        <xdr:cNvPr id="2" name="Chart 1"/>
        <xdr:cNvGraphicFramePr/>
      </xdr:nvGraphicFramePr>
      <xdr:xfrm>
        <a:off x="57150" y="4019550"/>
        <a:ext cx="5414645" cy="4946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17</xdr:row>
      <xdr:rowOff>18415</xdr:rowOff>
    </xdr:from>
    <xdr:to>
      <xdr:col>6</xdr:col>
      <xdr:colOff>452755</xdr:colOff>
      <xdr:row>42</xdr:row>
      <xdr:rowOff>179070</xdr:rowOff>
    </xdr:to>
    <xdr:graphicFrame>
      <xdr:nvGraphicFramePr>
        <xdr:cNvPr id="3" name="Chart 1"/>
        <xdr:cNvGraphicFramePr/>
      </xdr:nvGraphicFramePr>
      <xdr:xfrm>
        <a:off x="5276850" y="4037965"/>
        <a:ext cx="4986655" cy="4923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pane ySplit="2" topLeftCell="A3" activePane="bottomLeft" state="frozen"/>
      <selection/>
      <selection pane="bottomLeft" activeCell="I20" sqref="I20"/>
    </sheetView>
  </sheetViews>
  <sheetFormatPr defaultColWidth="8.67619047619048" defaultRowHeight="15"/>
  <cols>
    <col min="1" max="1" width="51.8571428571429" customWidth="1"/>
    <col min="2" max="2" width="27.2857142857143" customWidth="1"/>
    <col min="3" max="4" width="16" customWidth="1"/>
    <col min="5" max="5" width="19" customWidth="1"/>
    <col min="6" max="6" width="17" customWidth="1"/>
    <col min="7" max="7" width="16.7142857142857" customWidth="1"/>
    <col min="8" max="8" width="12.1428571428571" customWidth="1"/>
    <col min="9" max="9" width="14" customWidth="1"/>
    <col min="10" max="10" width="20" customWidth="1"/>
    <col min="11" max="11" width="25.1428571428571" customWidth="1"/>
  </cols>
  <sheetData>
    <row r="1" ht="24" customHeight="1" spans="1:12">
      <c r="A1" s="1" t="s">
        <v>0</v>
      </c>
      <c r="B1" s="2" t="s">
        <v>1</v>
      </c>
      <c r="C1" s="2" t="s">
        <v>2</v>
      </c>
      <c r="D1" s="3" t="s">
        <v>3</v>
      </c>
      <c r="E1" s="4"/>
      <c r="F1" s="5"/>
      <c r="G1" s="6"/>
      <c r="H1" s="2" t="s">
        <v>4</v>
      </c>
      <c r="I1" s="2" t="s">
        <v>5</v>
      </c>
      <c r="J1" s="7" t="s">
        <v>6</v>
      </c>
      <c r="K1" s="8" t="s">
        <v>7</v>
      </c>
      <c r="L1" s="9"/>
    </row>
    <row r="2" ht="36" customHeight="1" spans="1:12">
      <c r="A2" s="10"/>
      <c r="B2" s="10"/>
      <c r="C2" s="10"/>
      <c r="D2" s="11" t="s">
        <v>8</v>
      </c>
      <c r="E2" s="12" t="s">
        <v>9</v>
      </c>
      <c r="F2" s="12" t="s">
        <v>10</v>
      </c>
      <c r="G2" s="12" t="s">
        <v>11</v>
      </c>
      <c r="H2" s="10"/>
      <c r="I2" s="10"/>
      <c r="J2" s="13"/>
      <c r="K2" s="14">
        <v>2.4</v>
      </c>
      <c r="L2" s="15"/>
    </row>
    <row r="3" ht="19.5" customHeight="1" spans="1:12">
      <c r="A3" s="16" t="s">
        <v>12</v>
      </c>
      <c r="B3" s="17" t="s">
        <v>13</v>
      </c>
      <c r="C3" s="18">
        <v>39345</v>
      </c>
      <c r="D3" s="19">
        <v>5</v>
      </c>
      <c r="E3" s="19">
        <v>3</v>
      </c>
      <c r="F3" s="20">
        <v>4</v>
      </c>
      <c r="G3" s="20">
        <v>4</v>
      </c>
      <c r="H3" s="21">
        <f ca="1">YEAR(TODAY())-YEAR(C3)</f>
        <v>19</v>
      </c>
      <c r="I3" s="22">
        <f>AVERAGE(D3:G3)</f>
        <v>4</v>
      </c>
      <c r="J3" s="23">
        <f>I3*$K$2</f>
        <v>9.6</v>
      </c>
      <c r="K3" s="24"/>
      <c r="L3" s="25"/>
    </row>
    <row r="4" ht="19.5" customHeight="1" spans="1:12">
      <c r="A4" s="26" t="s">
        <v>14</v>
      </c>
      <c r="B4" s="19" t="s">
        <v>13</v>
      </c>
      <c r="C4" s="27">
        <v>38944</v>
      </c>
      <c r="D4" s="28">
        <v>4</v>
      </c>
      <c r="E4" s="26">
        <v>4</v>
      </c>
      <c r="F4" s="26">
        <v>4</v>
      </c>
      <c r="G4" s="26">
        <v>4</v>
      </c>
      <c r="H4" s="29">
        <f ca="1">YEAR(TODAY())-YEAR(C4)</f>
        <v>20</v>
      </c>
      <c r="I4" s="30">
        <f>AVERAGE(D4:G4)</f>
        <v>4</v>
      </c>
      <c r="J4" s="31">
        <f>I4*$K$2</f>
        <v>9.6</v>
      </c>
      <c r="K4" s="32"/>
    </row>
    <row r="5" ht="19.5" customHeight="1" spans="1:12">
      <c r="A5" s="33" t="s">
        <v>15</v>
      </c>
      <c r="B5" s="34" t="s">
        <v>16</v>
      </c>
      <c r="C5" s="27">
        <v>38052</v>
      </c>
      <c r="D5" s="26" t="s">
        <v>17</v>
      </c>
      <c r="E5" s="35">
        <v>3</v>
      </c>
      <c r="F5" s="26">
        <v>4</v>
      </c>
      <c r="G5" s="36">
        <v>4</v>
      </c>
      <c r="H5" s="37">
        <f ca="1">YEAR(TODAY())-YEAR(C5)</f>
        <v>22</v>
      </c>
      <c r="I5" s="31">
        <f>AVERAGE(D5:G5)</f>
        <v>3.66666666666667</v>
      </c>
      <c r="J5" s="31">
        <f>I5*$K$2</f>
        <v>8.8</v>
      </c>
      <c r="K5" s="38"/>
      <c r="L5" s="25"/>
    </row>
    <row r="6" ht="19.5" customHeight="1" spans="1:12">
      <c r="A6" s="19" t="s">
        <v>18</v>
      </c>
      <c r="B6" s="26" t="s">
        <v>19</v>
      </c>
      <c r="C6" s="27">
        <v>39075</v>
      </c>
      <c r="D6" s="26">
        <v>5</v>
      </c>
      <c r="E6" s="39">
        <v>5</v>
      </c>
      <c r="F6" s="26">
        <v>5</v>
      </c>
      <c r="G6" s="26">
        <v>5</v>
      </c>
      <c r="H6" s="29">
        <f ca="1">YEAR(TODAY())-YEAR(C6)</f>
        <v>20</v>
      </c>
      <c r="I6" s="31">
        <f>AVERAGE(D6:G6)</f>
        <v>5</v>
      </c>
      <c r="J6" s="23">
        <f>I6*$K$2</f>
        <v>12</v>
      </c>
      <c r="K6" s="40"/>
      <c r="L6" s="25"/>
    </row>
    <row r="7" ht="19.5" customHeight="1" spans="1:12">
      <c r="A7" s="26" t="s">
        <v>20</v>
      </c>
      <c r="B7" s="41" t="s">
        <v>21</v>
      </c>
      <c r="C7" s="27">
        <v>39124</v>
      </c>
      <c r="D7" s="19">
        <v>3</v>
      </c>
      <c r="E7" s="26" t="s">
        <v>17</v>
      </c>
      <c r="F7" s="26">
        <v>4</v>
      </c>
      <c r="G7" s="26">
        <v>4</v>
      </c>
      <c r="H7" s="29">
        <f ca="1">YEAR(TODAY())-YEAR(C7)</f>
        <v>19</v>
      </c>
      <c r="I7" s="31">
        <f>AVERAGE(D7:G7)</f>
        <v>3.66666666666667</v>
      </c>
      <c r="J7" s="31">
        <f>I7*$K$2</f>
        <v>8.8</v>
      </c>
      <c r="K7" s="42"/>
    </row>
    <row r="8" ht="19.5" customHeight="1" spans="1:12">
      <c r="A8" s="26" t="s">
        <v>22</v>
      </c>
      <c r="B8" s="43" t="s">
        <v>13</v>
      </c>
      <c r="C8" s="44">
        <v>38977</v>
      </c>
      <c r="D8" s="17">
        <v>4</v>
      </c>
      <c r="E8" s="39">
        <v>5</v>
      </c>
      <c r="F8" s="45">
        <v>3</v>
      </c>
      <c r="G8" s="26">
        <v>5</v>
      </c>
      <c r="H8" s="46">
        <f ca="1">YEAR(TODAY())-YEAR(C8)</f>
        <v>20</v>
      </c>
      <c r="I8" s="23">
        <f>AVERAGE(D8:G8)</f>
        <v>4.25</v>
      </c>
      <c r="J8" s="31">
        <f>I8*$K$2</f>
        <v>10.2</v>
      </c>
      <c r="K8" s="47"/>
    </row>
    <row r="9" ht="19.5" customHeight="1" spans="1:12">
      <c r="A9" s="19" t="s">
        <v>23</v>
      </c>
      <c r="B9" s="45"/>
      <c r="C9" s="26"/>
      <c r="D9" s="48">
        <f>AVERAGE(D3:D8)</f>
        <v>4.2</v>
      </c>
      <c r="E9" s="49">
        <f>AVERAGE(E3:E8)</f>
        <v>4</v>
      </c>
      <c r="F9" s="23">
        <f>AVERAGE(F3:F8)</f>
        <v>4</v>
      </c>
      <c r="G9" s="50">
        <f>AVERAGE(G3:G8)</f>
        <v>4.33333333333333</v>
      </c>
      <c r="H9" s="51"/>
      <c r="I9" s="51"/>
      <c r="J9" s="52"/>
      <c r="K9" s="51"/>
      <c r="L9" s="25"/>
    </row>
    <row r="10" spans="1:12">
      <c r="A10" s="53"/>
      <c r="B10" s="53"/>
      <c r="C10" s="53"/>
      <c r="D10" s="53"/>
      <c r="E10" s="53"/>
      <c r="F10" s="53"/>
      <c r="G10" s="53"/>
      <c r="H10" s="54"/>
      <c r="I10" s="54"/>
      <c r="J10" s="54"/>
      <c r="K10" s="54"/>
    </row>
    <row r="11" spans="1:12">
      <c r="A11" s="55" t="s">
        <v>24</v>
      </c>
      <c r="B11" s="55"/>
      <c r="C11" s="55"/>
      <c r="D11" s="56"/>
      <c r="E11" s="56"/>
      <c r="F11" s="56"/>
      <c r="G11" s="56"/>
    </row>
    <row r="12" spans="1:12">
      <c r="A12" s="55" t="s">
        <v>25</v>
      </c>
      <c r="B12" s="55" t="s">
        <v>26</v>
      </c>
      <c r="C12" s="57"/>
      <c r="D12" s="56"/>
      <c r="E12" s="56"/>
      <c r="F12" s="56"/>
      <c r="G12" s="56"/>
    </row>
    <row r="13" spans="1:12">
      <c r="A13" s="58" t="s">
        <v>27</v>
      </c>
      <c r="B13" s="55">
        <f>COUNTIF($I$3:$I$8,5)</f>
        <v>1</v>
      </c>
      <c r="C13" s="57"/>
      <c r="D13" s="56"/>
      <c r="E13" s="56"/>
      <c r="F13" s="56"/>
      <c r="G13" s="56"/>
    </row>
    <row r="14" spans="1:12">
      <c r="A14" s="58" t="s">
        <v>28</v>
      </c>
      <c r="B14" s="55">
        <f>COUNTIFS($I$3:$I$8,"&gt;=4",$I$3:$I$8,"&lt;5")</f>
        <v>3</v>
      </c>
      <c r="C14" s="57"/>
      <c r="D14" s="56"/>
      <c r="E14" s="56"/>
      <c r="F14" s="56"/>
      <c r="G14" s="56"/>
    </row>
    <row r="15" spans="1:12">
      <c r="A15" s="58" t="s">
        <v>29</v>
      </c>
      <c r="B15" s="55">
        <f>COUNTIF($I$3:$I$8,"&lt;4")</f>
        <v>2</v>
      </c>
      <c r="C15" s="57"/>
      <c r="D15" s="56"/>
      <c r="E15" s="56"/>
      <c r="F15" s="56"/>
      <c r="G15" s="56"/>
    </row>
    <row r="16" spans="1:12">
      <c r="A16" s="54"/>
      <c r="B16" s="54"/>
      <c r="C16" s="54"/>
      <c r="E16" s="59"/>
    </row>
    <row r="17" spans="2:8">
      <c r="B17" s="59"/>
    </row>
    <row r="18" spans="2:8">
      <c r="B18" s="60"/>
      <c r="F18" s="61"/>
    </row>
    <row r="19" spans="2:8">
      <c r="B19" s="62"/>
      <c r="H19" s="25"/>
    </row>
    <row r="24" spans="2:8">
      <c r="C24" s="25"/>
    </row>
  </sheetData>
  <mergeCells count="9">
    <mergeCell ref="D1:G1"/>
    <mergeCell ref="A9:C9"/>
    <mergeCell ref="A11:C11"/>
    <mergeCell ref="A1:A2"/>
    <mergeCell ref="B1:B2"/>
    <mergeCell ref="C1:C2"/>
    <mergeCell ref="H1:H2"/>
    <mergeCell ref="I1:I2"/>
    <mergeCell ref="J1:J2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Таблица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WPS_1791992826</cp:lastModifiedBy>
  <cp:revision>1</cp:revision>
  <dcterms:created xsi:type="dcterms:W3CDTF">2026-10-09T09:04:00Z</dcterms:created>
  <dcterms:modified xsi:type="dcterms:W3CDTF">2026-10-23T11:09:15Z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F838E3FDD3774A6DB30398E8300D5812_13</vt:lpwstr>
  </property>
  <property fmtid="{D5CDD505-2E9C-101B-9397-08002B2CF9AE}" pid="3" name="KSOProductBuildVer">
    <vt:lpwstr>1049-12.1.0.28099</vt:lpwstr>
  </property>
  <property fmtid="{D5CDD505-2E9C-101B-9397-08002B2CF9AE}" pid="4" name="CalculationRule">
    <vt:i4>0</vt:i4>
  </property>
</Properties>
</file>